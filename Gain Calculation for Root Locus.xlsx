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efc06be2cd040f0/我的文献/42470/Teaching/EIE3123 Dynamic Electronic Systems/2025-2026/"/>
    </mc:Choice>
  </mc:AlternateContent>
  <xr:revisionPtr revIDLastSave="253" documentId="8_{D7DF59DC-4E66-4FAB-8604-EACCAE1DE70B}" xr6:coauthVersionLast="47" xr6:coauthVersionMax="47" xr10:uidLastSave="{0ED92A60-FACD-4407-8E84-2B84770EF83C}"/>
  <bookViews>
    <workbookView xWindow="-110" yWindow="-110" windowWidth="19420" windowHeight="11500" xr2:uid="{DD25D007-7F4A-40F9-BDE5-AC002EC797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" i="1" l="1"/>
  <c r="K9" i="1"/>
  <c r="K10" i="1"/>
  <c r="K11" i="1"/>
  <c r="K12" i="1"/>
  <c r="K13" i="1"/>
  <c r="K14" i="1"/>
  <c r="K15" i="1"/>
  <c r="K16" i="1"/>
  <c r="J8" i="1"/>
  <c r="J9" i="1"/>
  <c r="J10" i="1"/>
  <c r="J11" i="1"/>
  <c r="J12" i="1"/>
  <c r="J13" i="1"/>
  <c r="J14" i="1"/>
  <c r="J15" i="1"/>
  <c r="J16" i="1"/>
  <c r="J7" i="1"/>
  <c r="E8" i="1"/>
  <c r="E9" i="1"/>
  <c r="E10" i="1"/>
  <c r="E11" i="1"/>
  <c r="E12" i="1"/>
  <c r="E13" i="1"/>
  <c r="E14" i="1"/>
  <c r="E15" i="1"/>
  <c r="E16" i="1"/>
  <c r="D8" i="1"/>
  <c r="D9" i="1"/>
  <c r="D10" i="1"/>
  <c r="D11" i="1"/>
  <c r="D12" i="1"/>
  <c r="D13" i="1"/>
  <c r="D14" i="1"/>
  <c r="D15" i="1"/>
  <c r="D16" i="1"/>
  <c r="K7" i="1"/>
  <c r="E7" i="1"/>
  <c r="D7" i="1"/>
  <c r="B18" i="1" l="1"/>
  <c r="B19" i="1"/>
</calcChain>
</file>

<file path=xl/sharedStrings.xml><?xml version="1.0" encoding="utf-8"?>
<sst xmlns="http://schemas.openxmlformats.org/spreadsheetml/2006/main" count="75" uniqueCount="29">
  <si>
    <t>Test Point</t>
  </si>
  <si>
    <t>Im</t>
  </si>
  <si>
    <t>Re</t>
  </si>
  <si>
    <t>Pole 1</t>
  </si>
  <si>
    <t>Pole 2</t>
  </si>
  <si>
    <t>Pole 3</t>
  </si>
  <si>
    <t>Pole 4</t>
  </si>
  <si>
    <t>Pole 5</t>
  </si>
  <si>
    <t>Pole 6</t>
  </si>
  <si>
    <t>Pole 7</t>
  </si>
  <si>
    <t>Pole 8</t>
  </si>
  <si>
    <t>Pole 9</t>
  </si>
  <si>
    <t>Pole 10</t>
  </si>
  <si>
    <t>Zero 1</t>
  </si>
  <si>
    <t>Zero 2</t>
  </si>
  <si>
    <t>Zero 3</t>
  </si>
  <si>
    <t>Zero 4</t>
  </si>
  <si>
    <t>Zero 5</t>
  </si>
  <si>
    <t>Zero 6</t>
  </si>
  <si>
    <t>Zero 7</t>
  </si>
  <si>
    <t>Zero 8</t>
  </si>
  <si>
    <t>Zero 9</t>
  </si>
  <si>
    <t>Zero 10</t>
  </si>
  <si>
    <t>Gain</t>
  </si>
  <si>
    <t>Length</t>
  </si>
  <si>
    <t>Open-Loop Poles</t>
  </si>
  <si>
    <t>Open-Loop Zeros</t>
  </si>
  <si>
    <t>Angle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</si>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</sst>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0" xfId="0" applyFont="1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BA4D44-D4E9-457B-9A38-B69704D33854}">
  <dimension ref="A1:K19"/>
  <sheetViews>
    <sheetView tabSelected="1" workbookViewId="0">
      <selection activeCell="I9" sqref="I9"/>
    </sheetView>
  </sheetViews>
  <sheetFormatPr defaultColWidth="9.1796875" defaultRowHeight="15.5" x14ac:dyDescent="0.35"/>
  <cols>
    <col min="1" max="5" width="13" style="2" customWidth="1"/>
    <col min="6" max="6" width="2.26953125" style="2" customWidth="1"/>
    <col min="7" max="11" width="13" style="2" customWidth="1"/>
    <col min="12" max="16384" width="9.1796875" style="2"/>
  </cols>
  <sheetData>
    <row r="1" spans="1:11" x14ac:dyDescent="0.35">
      <c r="A1" s="1" t="s">
        <v>0</v>
      </c>
    </row>
    <row r="2" spans="1:11" x14ac:dyDescent="0.35">
      <c r="A2" s="3" t="s">
        <v>2</v>
      </c>
      <c r="B2" s="3" t="s">
        <v>1</v>
      </c>
      <c r="C2" s="3"/>
    </row>
    <row r="3" spans="1:11" x14ac:dyDescent="0.35">
      <c r="A3" s="2">
        <v>0</v>
      </c>
      <c r="B3" s="2">
        <v>0</v>
      </c>
    </row>
    <row r="5" spans="1:11" x14ac:dyDescent="0.35">
      <c r="A5" s="1" t="s">
        <v>25</v>
      </c>
      <c r="G5" s="1" t="s">
        <v>26</v>
      </c>
    </row>
    <row r="6" spans="1:11" x14ac:dyDescent="0.35">
      <c r="A6" s="1"/>
      <c r="B6" s="5" t="s">
        <v>2</v>
      </c>
      <c r="C6" s="5" t="s">
        <v>1</v>
      </c>
      <c r="D6" s="5" t="s">
        <v>24</v>
      </c>
      <c r="E6" s="5" t="s">
        <v>27</v>
      </c>
      <c r="F6" s="5"/>
      <c r="G6" s="6"/>
      <c r="H6" s="5" t="s">
        <v>2</v>
      </c>
      <c r="I6" s="5" t="s">
        <v>1</v>
      </c>
      <c r="J6" s="5" t="s">
        <v>24</v>
      </c>
      <c r="K6" s="5" t="s">
        <v>27</v>
      </c>
    </row>
    <row r="7" spans="1:11" x14ac:dyDescent="0.35">
      <c r="A7" s="3" t="s">
        <v>3</v>
      </c>
      <c r="B7" s="2" t="s">
        <v>28</v>
      </c>
      <c r="C7" s="2" t="s">
        <v>28</v>
      </c>
      <c r="D7" s="2">
        <f>IF(B7="x",1,SQRT(($B$3-C7)^2+($A$3-B7)^2))</f>
        <v>1</v>
      </c>
      <c r="E7" s="2">
        <f>IF(B7="x",0,IF(B7&lt;$A$3,ATAN(($B$3-C7)/($A$3-B7))*180/PI(),IF(B7&gt;$A$3,ATAN(($B$3-C7)/($A$3-B7))*180/PI()+180,IF($B$3&gt;C7,90,-90))))</f>
        <v>0</v>
      </c>
      <c r="G7" s="3" t="s">
        <v>13</v>
      </c>
      <c r="H7" s="2" t="s">
        <v>28</v>
      </c>
      <c r="I7" s="2" t="s">
        <v>28</v>
      </c>
      <c r="J7" s="2">
        <f>IF(H7="x",1,SQRT(($B$3-I7)^2+($A$3-H7)^2))</f>
        <v>1</v>
      </c>
      <c r="K7" s="2">
        <f>IF(H7="x",0,IF(H7&lt;$A$3,ATAN(($B$3-I7)/($A$3-H7))*180/PI(),IF(H7&gt;$A$3,ATAN(($B$3-I7)/($A$3-H7))*180/PI()+180,IF($B$3&gt;I7,90,-90))))</f>
        <v>0</v>
      </c>
    </row>
    <row r="8" spans="1:11" x14ac:dyDescent="0.35">
      <c r="A8" s="3" t="s">
        <v>4</v>
      </c>
      <c r="B8" s="2" t="s">
        <v>28</v>
      </c>
      <c r="C8" s="2" t="s">
        <v>28</v>
      </c>
      <c r="D8" s="2">
        <f t="shared" ref="D8:D16" si="0">IF(B8="x",1,SQRT(($B$3-C8)^2+($A$3-B8)^2))</f>
        <v>1</v>
      </c>
      <c r="E8" s="2">
        <f t="shared" ref="E8:E16" si="1">IF(B8="x",0,IF(B8&lt;$A$3,ATAN(($B$3-C8)/($A$3-B8))*180/PI(),IF(B8&gt;$A$3,ATAN(($B$3-C8)/($A$3-B8))*180/PI()+180,IF($B$3&gt;C8,90,-90))))</f>
        <v>0</v>
      </c>
      <c r="G8" s="3" t="s">
        <v>14</v>
      </c>
      <c r="H8" s="2" t="s">
        <v>28</v>
      </c>
      <c r="I8" s="2" t="s">
        <v>28</v>
      </c>
      <c r="J8" s="2">
        <f t="shared" ref="J8:J16" si="2">IF(H8="x",1,SQRT(($B$3-I8)^2+($A$3-H8)^2))</f>
        <v>1</v>
      </c>
      <c r="K8" s="2">
        <f t="shared" ref="K8:K16" si="3">IF(H8="x",0,IF(H8&lt;$A$3,ATAN(($B$3-I8)/($A$3-H8))*180/PI(),IF(H8&gt;$A$3,ATAN(($B$3-I8)/($A$3-H8))*180/PI()+180,IF($B$3&gt;I8,90,-90))))</f>
        <v>0</v>
      </c>
    </row>
    <row r="9" spans="1:11" x14ac:dyDescent="0.35">
      <c r="A9" s="3" t="s">
        <v>5</v>
      </c>
      <c r="B9" s="2" t="s">
        <v>28</v>
      </c>
      <c r="C9" s="2" t="s">
        <v>28</v>
      </c>
      <c r="D9" s="2">
        <f t="shared" si="0"/>
        <v>1</v>
      </c>
      <c r="E9" s="2">
        <f t="shared" si="1"/>
        <v>0</v>
      </c>
      <c r="G9" s="3" t="s">
        <v>15</v>
      </c>
      <c r="H9" s="2" t="s">
        <v>28</v>
      </c>
      <c r="I9" s="2" t="s">
        <v>28</v>
      </c>
      <c r="J9" s="2">
        <f t="shared" si="2"/>
        <v>1</v>
      </c>
      <c r="K9" s="2">
        <f t="shared" si="3"/>
        <v>0</v>
      </c>
    </row>
    <row r="10" spans="1:11" x14ac:dyDescent="0.35">
      <c r="A10" s="3" t="s">
        <v>6</v>
      </c>
      <c r="B10" s="2" t="s">
        <v>28</v>
      </c>
      <c r="C10" s="2" t="s">
        <v>28</v>
      </c>
      <c r="D10" s="2">
        <f t="shared" si="0"/>
        <v>1</v>
      </c>
      <c r="E10" s="2">
        <f t="shared" si="1"/>
        <v>0</v>
      </c>
      <c r="G10" s="3" t="s">
        <v>16</v>
      </c>
      <c r="H10" s="2" t="s">
        <v>28</v>
      </c>
      <c r="I10" s="2" t="s">
        <v>28</v>
      </c>
      <c r="J10" s="2">
        <f t="shared" si="2"/>
        <v>1</v>
      </c>
      <c r="K10" s="2">
        <f t="shared" si="3"/>
        <v>0</v>
      </c>
    </row>
    <row r="11" spans="1:11" x14ac:dyDescent="0.35">
      <c r="A11" s="3" t="s">
        <v>7</v>
      </c>
      <c r="B11" s="2" t="s">
        <v>28</v>
      </c>
      <c r="C11" s="2" t="s">
        <v>28</v>
      </c>
      <c r="D11" s="2">
        <f t="shared" si="0"/>
        <v>1</v>
      </c>
      <c r="E11" s="2">
        <f t="shared" si="1"/>
        <v>0</v>
      </c>
      <c r="G11" s="3" t="s">
        <v>17</v>
      </c>
      <c r="H11" s="2" t="s">
        <v>28</v>
      </c>
      <c r="I11" s="2" t="s">
        <v>28</v>
      </c>
      <c r="J11" s="2">
        <f t="shared" si="2"/>
        <v>1</v>
      </c>
      <c r="K11" s="2">
        <f t="shared" si="3"/>
        <v>0</v>
      </c>
    </row>
    <row r="12" spans="1:11" x14ac:dyDescent="0.35">
      <c r="A12" s="3" t="s">
        <v>8</v>
      </c>
      <c r="B12" s="2" t="s">
        <v>28</v>
      </c>
      <c r="C12" s="2" t="s">
        <v>28</v>
      </c>
      <c r="D12" s="2">
        <f t="shared" si="0"/>
        <v>1</v>
      </c>
      <c r="E12" s="2">
        <f t="shared" si="1"/>
        <v>0</v>
      </c>
      <c r="G12" s="3" t="s">
        <v>18</v>
      </c>
      <c r="H12" s="2" t="s">
        <v>28</v>
      </c>
      <c r="I12" s="2" t="s">
        <v>28</v>
      </c>
      <c r="J12" s="2">
        <f t="shared" si="2"/>
        <v>1</v>
      </c>
      <c r="K12" s="2">
        <f t="shared" si="3"/>
        <v>0</v>
      </c>
    </row>
    <row r="13" spans="1:11" x14ac:dyDescent="0.35">
      <c r="A13" s="3" t="s">
        <v>9</v>
      </c>
      <c r="B13" s="2" t="s">
        <v>28</v>
      </c>
      <c r="C13" s="2" t="s">
        <v>28</v>
      </c>
      <c r="D13" s="2">
        <f t="shared" si="0"/>
        <v>1</v>
      </c>
      <c r="E13" s="2">
        <f t="shared" si="1"/>
        <v>0</v>
      </c>
      <c r="G13" s="3" t="s">
        <v>19</v>
      </c>
      <c r="H13" s="2" t="s">
        <v>28</v>
      </c>
      <c r="I13" s="2" t="s">
        <v>28</v>
      </c>
      <c r="J13" s="2">
        <f t="shared" si="2"/>
        <v>1</v>
      </c>
      <c r="K13" s="2">
        <f t="shared" si="3"/>
        <v>0</v>
      </c>
    </row>
    <row r="14" spans="1:11" x14ac:dyDescent="0.35">
      <c r="A14" s="3" t="s">
        <v>10</v>
      </c>
      <c r="B14" s="2" t="s">
        <v>28</v>
      </c>
      <c r="C14" s="2" t="s">
        <v>28</v>
      </c>
      <c r="D14" s="2">
        <f t="shared" si="0"/>
        <v>1</v>
      </c>
      <c r="E14" s="2">
        <f t="shared" si="1"/>
        <v>0</v>
      </c>
      <c r="G14" s="3" t="s">
        <v>20</v>
      </c>
      <c r="H14" s="2" t="s">
        <v>28</v>
      </c>
      <c r="I14" s="2" t="s">
        <v>28</v>
      </c>
      <c r="J14" s="2">
        <f t="shared" si="2"/>
        <v>1</v>
      </c>
      <c r="K14" s="2">
        <f t="shared" si="3"/>
        <v>0</v>
      </c>
    </row>
    <row r="15" spans="1:11" x14ac:dyDescent="0.35">
      <c r="A15" s="3" t="s">
        <v>11</v>
      </c>
      <c r="B15" s="2" t="s">
        <v>28</v>
      </c>
      <c r="C15" s="2" t="s">
        <v>28</v>
      </c>
      <c r="D15" s="2">
        <f t="shared" si="0"/>
        <v>1</v>
      </c>
      <c r="E15" s="2">
        <f t="shared" si="1"/>
        <v>0</v>
      </c>
      <c r="G15" s="3" t="s">
        <v>21</v>
      </c>
      <c r="H15" s="2" t="s">
        <v>28</v>
      </c>
      <c r="I15" s="2" t="s">
        <v>28</v>
      </c>
      <c r="J15" s="2">
        <f t="shared" si="2"/>
        <v>1</v>
      </c>
      <c r="K15" s="2">
        <f t="shared" si="3"/>
        <v>0</v>
      </c>
    </row>
    <row r="16" spans="1:11" x14ac:dyDescent="0.35">
      <c r="A16" s="3" t="s">
        <v>12</v>
      </c>
      <c r="B16" s="2" t="s">
        <v>28</v>
      </c>
      <c r="C16" s="2" t="s">
        <v>28</v>
      </c>
      <c r="D16" s="2">
        <f t="shared" si="0"/>
        <v>1</v>
      </c>
      <c r="E16" s="2">
        <f t="shared" si="1"/>
        <v>0</v>
      </c>
      <c r="G16" s="3" t="s">
        <v>22</v>
      </c>
      <c r="H16" s="2" t="s">
        <v>28</v>
      </c>
      <c r="I16" s="2" t="s">
        <v>28</v>
      </c>
      <c r="J16" s="2">
        <f t="shared" si="2"/>
        <v>1</v>
      </c>
      <c r="K16" s="2">
        <f t="shared" si="3"/>
        <v>0</v>
      </c>
    </row>
    <row r="18" spans="1:2" x14ac:dyDescent="0.35">
      <c r="A18" s="4" t="s">
        <v>23</v>
      </c>
      <c r="B18" s="7">
        <f>PRODUCT(D7:D16)/PRODUCT(J7:J16)</f>
        <v>1</v>
      </c>
    </row>
    <row r="19" spans="1:2" x14ac:dyDescent="0.35">
      <c r="A19" s="4" t="s">
        <v>27</v>
      </c>
      <c r="B19" s="7">
        <f>SUM(K7:K16)-SUM(E7:E16)</f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 Loo</dc:creator>
  <cp:lastModifiedBy>KH Loo</cp:lastModifiedBy>
  <dcterms:created xsi:type="dcterms:W3CDTF">2021-10-17T14:38:59Z</dcterms:created>
  <dcterms:modified xsi:type="dcterms:W3CDTF">2026-04-30T07:01:47Z</dcterms:modified>
</cp:coreProperties>
</file>